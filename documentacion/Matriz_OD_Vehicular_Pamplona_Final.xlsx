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larrabycom-my.sharepoint.com/personal/oscar_larraby_com/Documents/000. Tracasa - Gemelos Digitales/000. Red de carreteras - Sumo/"/>
    </mc:Choice>
  </mc:AlternateContent>
  <xr:revisionPtr revIDLastSave="0" documentId="8_{DE04DA65-76B3-4E05-9FE1-266DBA3174A1}" xr6:coauthVersionLast="47" xr6:coauthVersionMax="47" xr10:uidLastSave="{00000000-0000-0000-0000-000000000000}"/>
  <bookViews>
    <workbookView xWindow="2730" yWindow="2730" windowWidth="32325" windowHeight="17820" tabRatio="500" xr2:uid="{00000000-000D-0000-FFFF-FFFF00000000}"/>
  </bookViews>
  <sheets>
    <sheet name="Matriz OD Vehicular" sheetId="1" r:id="rId1"/>
    <sheet name="MOD Telefonía" sheetId="3" r:id="rId2"/>
    <sheet name="Metodologí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1" l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B28" i="1" s="1"/>
</calcChain>
</file>

<file path=xl/sharedStrings.xml><?xml version="1.0" encoding="utf-8"?>
<sst xmlns="http://schemas.openxmlformats.org/spreadsheetml/2006/main" count="123" uniqueCount="72">
  <si>
    <t>Origen \ Destino</t>
  </si>
  <si>
    <t>Casco Viejo</t>
  </si>
  <si>
    <t>Ensanche I-II</t>
  </si>
  <si>
    <t>Iturrama</t>
  </si>
  <si>
    <t>San Juan</t>
  </si>
  <si>
    <t>Ermitagaña-Mendebaldea</t>
  </si>
  <si>
    <t>Milagrosa-Azpilagaña</t>
  </si>
  <si>
    <t>Lezkairu</t>
  </si>
  <si>
    <t>Mendillorri</t>
  </si>
  <si>
    <t>Rochapea</t>
  </si>
  <si>
    <t>Txantrea</t>
  </si>
  <si>
    <t>San Jorge</t>
  </si>
  <si>
    <t>Buztintxuri</t>
  </si>
  <si>
    <t>Etxabakoitz</t>
  </si>
  <si>
    <t>Zizur Mayor</t>
  </si>
  <si>
    <t>Barañáin</t>
  </si>
  <si>
    <t>Cendea de Cizur</t>
  </si>
  <si>
    <t>Burlada</t>
  </si>
  <si>
    <t>Villava</t>
  </si>
  <si>
    <t>Berriozar</t>
  </si>
  <si>
    <t>Orkoien</t>
  </si>
  <si>
    <t>Berrioplano</t>
  </si>
  <si>
    <t>Aranguren</t>
  </si>
  <si>
    <t>Egüés</t>
  </si>
  <si>
    <t>Huarte</t>
  </si>
  <si>
    <t>Ezcabarte</t>
  </si>
  <si>
    <t>Noáin</t>
  </si>
  <si>
    <t>Total Origen</t>
  </si>
  <si>
    <t>Total Destino</t>
  </si>
  <si>
    <t>Origen ↓ / Destino →</t>
  </si>
  <si>
    <t>Pamplona</t>
  </si>
  <si>
    <t>Cizur</t>
  </si>
  <si>
    <t>Egües</t>
  </si>
  <si>
    <t>https://mapas-movilidad.transportes.gob.es/?loc_type=MUNICIPALITIES&amp;metric=JOURNEYS&amp;distances=%5B%22D_05_2%22%2C%22D_2_10%22%5D&amp;o_dis=%5B%5D&amp;o_mun=%5B%2231201%22%2C%2231907%22%2C%2231076_AM%22%2C%2231901%22%2C%2231060%22%2C%2231258%22%2C%2231903%22%5D&amp;o_prov=%5B%5D&amp;d_dis=%5B%5D&amp;d_mun=%5B%2231902%22%2C%2231906_AM%22%2C%2231023%22%2C%2231086%22%2C%2231122%22%2C%2231101_AM%22%2C%2231088%22%5D&amp;d_prov=%5B%5D&amp;v=42.797678%2C-1.632755%2C12.17%2C0%2C25&amp;ms=IGN&amp;date=2025-06-02T00%3A00%3A00.000Z</t>
  </si>
  <si>
    <t>MATRIZ ORIGEN-DESTINO DE TRÁFICO VEHICULAR</t>
  </si>
  <si>
    <t>Pamplona y Área Metropolitana</t>
  </si>
  <si>
    <t>METODOLOGÍA DE ELABORACIÓN</t>
  </si>
  <si>
    <t>Esta matriz combina tres fuentes de datos:</t>
  </si>
  <si>
    <t>1. Informe de movilidad con estimaciones de flujos vehiculares barrio-municipio</t>
  </si>
  <si>
    <t>2. Matriz OD de movimientos totales de personas (telefonía móvil)</t>
  </si>
  <si>
    <t>3. Datos poblacionales del padrón municipal 2024</t>
  </si>
  <si>
    <t xml:space="preserve">  Los flujos Pamplona ↔ Municipios de la matriz OD son UNIDIRECCIONALES</t>
  </si>
  <si>
    <t xml:space="preserve">  Se usan ambos sentidos por separado antes de simetrizar</t>
  </si>
  <si>
    <t>TASAS DE CONVERSIÓN A VEHÍCULO:</t>
  </si>
  <si>
    <t xml:space="preserve">  • Flujos internos Pamplona: 40%</t>
  </si>
  <si>
    <t xml:space="preserve">  • Flujos Pamplona ↔ municipios: 65%</t>
  </si>
  <si>
    <t xml:space="preserve">  • Flujos entre municipios: 60%</t>
  </si>
  <si>
    <t>Totales finales:</t>
  </si>
  <si>
    <t>Componente</t>
  </si>
  <si>
    <t>Veh/día</t>
  </si>
  <si>
    <t>Internos Pamplona</t>
  </si>
  <si>
    <t>Pamplona ↔ Comarca</t>
  </si>
  <si>
    <t>Entre municipios</t>
  </si>
  <si>
    <t>TOTAL</t>
  </si>
  <si>
    <t>A) Flujos internos de Pamplona (entre barrios):</t>
  </si>
  <si>
    <t xml:space="preserve">   - Base: 430,000 movimientos diarios internos (matriz OD original)</t>
  </si>
  <si>
    <t xml:space="preserve">   - Conversión: 430,000 × 60% = 258,000 viajes vehículo/día</t>
  </si>
  <si>
    <t xml:space="preserve">   - Distribución: modelo gravitacional (población × peso atractor)</t>
  </si>
  <si>
    <t>B) Flujos Pamplona ↔ Municipios comarca:</t>
  </si>
  <si>
    <t xml:space="preserve">   - Fuente directa: Tablas 1 y 2 del informe de movilidad</t>
  </si>
  <si>
    <t xml:space="preserve">   - Ya expresados en viajes vehiculares diarios</t>
  </si>
  <si>
    <t xml:space="preserve">   - Total estimado: ~60,000 viajes vehículo/día</t>
  </si>
  <si>
    <t>C) Flujos entre municipios de la comarca:</t>
  </si>
  <si>
    <t xml:space="preserve">   - Fuente: Matriz OD original de telefonía móvil</t>
  </si>
  <si>
    <t xml:space="preserve">   - Conversión: valores × 60%</t>
  </si>
  <si>
    <t>DISTRIBUCIÓN DE FLUJOS POR BARRIO:</t>
  </si>
  <si>
    <t xml:space="preserve">  • Barrio como ORIGEN: según peso poblacional</t>
  </si>
  <si>
    <t xml:space="preserve">  • Barrio como DESTINO: según peso atractor</t>
  </si>
  <si>
    <t>VERIFICACIÓN ZIZUR MAYOR:</t>
  </si>
  <si>
    <t xml:space="preserve">  Matriz OD: Pamplona → Zizur = 9,400 | Zizur → Pamplona = 9,300</t>
  </si>
  <si>
    <t xml:space="preserve">  Media: 9,350 personas/día</t>
  </si>
  <si>
    <t xml:space="preserve">  Al 65%: 6,077 veh/día (suma barrios ↔ Zizur)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</si>
</sst>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9"/>
      <name val="Cambria"/>
      <family val="1"/>
    </font>
    <font>
      <b/>
      <sz val="14"/>
      <name val="Cambria"/>
      <family val="1"/>
    </font>
    <font>
      <i/>
      <sz val="12"/>
      <name val="Cambria"/>
      <family val="1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4E6F1"/>
        <bgColor rgb="FFE8E8E8"/>
      </patternFill>
    </fill>
    <fill>
      <patternFill patternType="solid">
        <fgColor rgb="FFD5F5E3"/>
        <bgColor rgb="FFD4E6F1"/>
      </patternFill>
    </fill>
    <fill>
      <patternFill patternType="solid">
        <fgColor rgb="FFE8E8E8"/>
        <bgColor rgb="FFD4E6F1"/>
      </patternFill>
    </fill>
    <fill>
      <patternFill patternType="solid">
        <fgColor rgb="FFF9E79F"/>
        <b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/>
    <xf numFmtId="0" fontId="2" fillId="2" borderId="1" xfId="0" applyFont="1" applyFill="1" applyBorder="1"/>
    <xf numFmtId="3" fontId="0" fillId="4" borderId="1" xfId="0" applyNumberForma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0" fontId="2" fillId="3" borderId="1" xfId="0" applyFont="1" applyFill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22</xdr:col>
      <xdr:colOff>117533</xdr:colOff>
      <xdr:row>84</xdr:row>
      <xdr:rowOff>154176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C43842-223D-5817-C62D-90E852A5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71875"/>
          <a:ext cx="23168033" cy="12727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zoomScaleNormal="100" workbookViewId="0">
      <pane xSplit="1" ySplit="1" topLeftCell="B2" activePane="bottomRight" state="frozen"/>
      <selection pane="bottomRight" activeCell="Q21" sqref="Q21"/>
      <selection pane="bottomLeft" activeCell="A2" sqref="A2"/>
      <selection pane="topRight" activeCell="B1" sqref="B1"/>
    </sheetView>
  </sheetViews>
  <sheetFormatPr defaultColWidth="8.7109375" defaultRowHeight="15"/>
  <cols>
    <col min="1" max="1" width="24" customWidth="1"/>
    <col min="2" max="28" width="11" customWidth="1"/>
  </cols>
  <sheetData>
    <row r="1" spans="1:28" ht="10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</row>
    <row r="2" spans="1:28">
      <c r="A2" s="5" t="s">
        <v>1</v>
      </c>
      <c r="B2" s="6">
        <v>55</v>
      </c>
      <c r="C2" s="7">
        <v>1274</v>
      </c>
      <c r="D2" s="7">
        <v>943</v>
      </c>
      <c r="E2" s="7">
        <v>778</v>
      </c>
      <c r="F2" s="7">
        <v>1015</v>
      </c>
      <c r="G2" s="7">
        <v>911</v>
      </c>
      <c r="H2" s="7">
        <v>462</v>
      </c>
      <c r="I2" s="7">
        <v>456</v>
      </c>
      <c r="J2" s="7">
        <v>891</v>
      </c>
      <c r="K2" s="7">
        <v>847</v>
      </c>
      <c r="L2" s="7">
        <v>733</v>
      </c>
      <c r="M2" s="7">
        <v>359</v>
      </c>
      <c r="N2" s="7">
        <v>524</v>
      </c>
      <c r="O2" s="7">
        <v>318</v>
      </c>
      <c r="P2" s="7">
        <v>800</v>
      </c>
      <c r="Q2" s="7">
        <v>748</v>
      </c>
      <c r="R2" s="7">
        <v>850</v>
      </c>
      <c r="S2" s="7">
        <v>280</v>
      </c>
      <c r="T2" s="7">
        <v>374</v>
      </c>
      <c r="U2" s="7">
        <v>442</v>
      </c>
      <c r="V2" s="7">
        <v>578</v>
      </c>
      <c r="W2" s="7">
        <v>952</v>
      </c>
      <c r="X2" s="7">
        <v>918</v>
      </c>
      <c r="Y2" s="7">
        <v>319</v>
      </c>
      <c r="Z2" s="7">
        <v>265</v>
      </c>
      <c r="AA2" s="7">
        <v>297</v>
      </c>
      <c r="AB2" s="8">
        <f t="shared" ref="AB2:AB27" si="0">SUM(B2:AA2)</f>
        <v>16389</v>
      </c>
    </row>
    <row r="3" spans="1:28">
      <c r="A3" s="5" t="s">
        <v>2</v>
      </c>
      <c r="B3" s="7">
        <v>1274</v>
      </c>
      <c r="C3" s="6">
        <v>185</v>
      </c>
      <c r="D3" s="7">
        <v>2395</v>
      </c>
      <c r="E3" s="7">
        <v>2004</v>
      </c>
      <c r="F3" s="7">
        <v>2349</v>
      </c>
      <c r="G3" s="7">
        <v>2362</v>
      </c>
      <c r="H3" s="7">
        <v>1133</v>
      </c>
      <c r="I3" s="7">
        <v>1253</v>
      </c>
      <c r="J3" s="7">
        <v>2435</v>
      </c>
      <c r="K3" s="7">
        <v>2157</v>
      </c>
      <c r="L3" s="7">
        <v>1723</v>
      </c>
      <c r="M3" s="7">
        <v>940</v>
      </c>
      <c r="N3" s="7">
        <v>1122</v>
      </c>
      <c r="O3" s="7">
        <v>789</v>
      </c>
      <c r="P3" s="7">
        <v>1976</v>
      </c>
      <c r="Q3" s="7">
        <v>1859</v>
      </c>
      <c r="R3" s="7">
        <v>2112</v>
      </c>
      <c r="S3" s="7">
        <v>696</v>
      </c>
      <c r="T3" s="7">
        <v>929</v>
      </c>
      <c r="U3" s="7">
        <v>1098</v>
      </c>
      <c r="V3" s="7">
        <v>1436</v>
      </c>
      <c r="W3" s="7">
        <v>2366</v>
      </c>
      <c r="X3" s="7">
        <v>2281</v>
      </c>
      <c r="Y3" s="7">
        <v>796</v>
      </c>
      <c r="Z3" s="7">
        <v>659</v>
      </c>
      <c r="AA3" s="7">
        <v>740</v>
      </c>
      <c r="AB3" s="8">
        <f t="shared" si="0"/>
        <v>39069</v>
      </c>
    </row>
    <row r="4" spans="1:28">
      <c r="A4" s="5" t="s">
        <v>3</v>
      </c>
      <c r="B4" s="7">
        <v>943</v>
      </c>
      <c r="C4" s="7">
        <v>2395</v>
      </c>
      <c r="D4" s="6">
        <v>205</v>
      </c>
      <c r="E4" s="7">
        <v>1445</v>
      </c>
      <c r="F4" s="7">
        <v>1911</v>
      </c>
      <c r="G4" s="7">
        <v>1691</v>
      </c>
      <c r="H4" s="7">
        <v>864</v>
      </c>
      <c r="I4" s="7">
        <v>841</v>
      </c>
      <c r="J4" s="7">
        <v>1642</v>
      </c>
      <c r="K4" s="7">
        <v>1576</v>
      </c>
      <c r="L4" s="7">
        <v>1378</v>
      </c>
      <c r="M4" s="7">
        <v>665</v>
      </c>
      <c r="N4" s="7">
        <v>994</v>
      </c>
      <c r="O4" s="7">
        <v>593</v>
      </c>
      <c r="P4" s="7">
        <v>1493</v>
      </c>
      <c r="Q4" s="7">
        <v>1395</v>
      </c>
      <c r="R4" s="7">
        <v>1586</v>
      </c>
      <c r="S4" s="7">
        <v>524</v>
      </c>
      <c r="T4" s="7">
        <v>698</v>
      </c>
      <c r="U4" s="7">
        <v>825</v>
      </c>
      <c r="V4" s="7">
        <v>1078</v>
      </c>
      <c r="W4" s="7">
        <v>1776</v>
      </c>
      <c r="X4" s="7">
        <v>1713</v>
      </c>
      <c r="Y4" s="7">
        <v>596</v>
      </c>
      <c r="Z4" s="7">
        <v>495</v>
      </c>
      <c r="AA4" s="7">
        <v>555</v>
      </c>
      <c r="AB4" s="8">
        <f t="shared" si="0"/>
        <v>29877</v>
      </c>
    </row>
    <row r="5" spans="1:28">
      <c r="A5" s="5" t="s">
        <v>4</v>
      </c>
      <c r="B5" s="7">
        <v>778</v>
      </c>
      <c r="C5" s="7">
        <v>2004</v>
      </c>
      <c r="D5" s="7">
        <v>1445</v>
      </c>
      <c r="E5" s="6">
        <v>155</v>
      </c>
      <c r="F5" s="7">
        <v>1601</v>
      </c>
      <c r="G5" s="7">
        <v>1386</v>
      </c>
      <c r="H5" s="7">
        <v>716</v>
      </c>
      <c r="I5" s="7">
        <v>680</v>
      </c>
      <c r="J5" s="7">
        <v>1330</v>
      </c>
      <c r="K5" s="7">
        <v>1296</v>
      </c>
      <c r="L5" s="7">
        <v>1151</v>
      </c>
      <c r="M5" s="7">
        <v>544</v>
      </c>
      <c r="N5" s="7">
        <v>844</v>
      </c>
      <c r="O5" s="7">
        <v>490</v>
      </c>
      <c r="P5" s="7">
        <v>1235</v>
      </c>
      <c r="Q5" s="7">
        <v>1153</v>
      </c>
      <c r="R5" s="7">
        <v>1310</v>
      </c>
      <c r="S5" s="7">
        <v>433</v>
      </c>
      <c r="T5" s="7">
        <v>577</v>
      </c>
      <c r="U5" s="7">
        <v>681</v>
      </c>
      <c r="V5" s="7">
        <v>891</v>
      </c>
      <c r="W5" s="7">
        <v>1468</v>
      </c>
      <c r="X5" s="7">
        <v>1415</v>
      </c>
      <c r="Y5" s="7">
        <v>492</v>
      </c>
      <c r="Z5" s="7">
        <v>409</v>
      </c>
      <c r="AA5" s="7">
        <v>458</v>
      </c>
      <c r="AB5" s="8">
        <f t="shared" si="0"/>
        <v>24942</v>
      </c>
    </row>
    <row r="6" spans="1:28">
      <c r="A6" s="5" t="s">
        <v>5</v>
      </c>
      <c r="B6" s="7">
        <v>1015</v>
      </c>
      <c r="C6" s="7">
        <v>2349</v>
      </c>
      <c r="D6" s="7">
        <v>1911</v>
      </c>
      <c r="E6" s="7">
        <v>1601</v>
      </c>
      <c r="F6" s="6">
        <v>110</v>
      </c>
      <c r="G6" s="7">
        <v>1887</v>
      </c>
      <c r="H6" s="7">
        <v>901</v>
      </c>
      <c r="I6" s="7">
        <v>1006</v>
      </c>
      <c r="J6" s="7">
        <v>1955</v>
      </c>
      <c r="K6" s="7">
        <v>1721</v>
      </c>
      <c r="L6" s="7">
        <v>1365</v>
      </c>
      <c r="M6" s="7">
        <v>752</v>
      </c>
      <c r="N6" s="7">
        <v>881</v>
      </c>
      <c r="O6" s="7">
        <v>628</v>
      </c>
      <c r="P6" s="7">
        <v>1573</v>
      </c>
      <c r="Q6" s="7">
        <v>1480</v>
      </c>
      <c r="R6" s="7">
        <v>1682</v>
      </c>
      <c r="S6" s="7">
        <v>554</v>
      </c>
      <c r="T6" s="7">
        <v>740</v>
      </c>
      <c r="U6" s="7">
        <v>875</v>
      </c>
      <c r="V6" s="7">
        <v>1144</v>
      </c>
      <c r="W6" s="7">
        <v>1884</v>
      </c>
      <c r="X6" s="7">
        <v>1817</v>
      </c>
      <c r="Y6" s="7">
        <v>634</v>
      </c>
      <c r="Z6" s="7">
        <v>525</v>
      </c>
      <c r="AA6" s="7">
        <v>590</v>
      </c>
      <c r="AB6" s="8">
        <f t="shared" si="0"/>
        <v>31580</v>
      </c>
    </row>
    <row r="7" spans="1:28">
      <c r="A7" s="5" t="s">
        <v>6</v>
      </c>
      <c r="B7" s="7">
        <v>911</v>
      </c>
      <c r="C7" s="7">
        <v>2362</v>
      </c>
      <c r="D7" s="7">
        <v>1691</v>
      </c>
      <c r="E7" s="7">
        <v>1386</v>
      </c>
      <c r="F7" s="7">
        <v>1887</v>
      </c>
      <c r="G7" s="6">
        <v>221</v>
      </c>
      <c r="H7" s="7">
        <v>841</v>
      </c>
      <c r="I7" s="7">
        <v>791</v>
      </c>
      <c r="J7" s="7">
        <v>1546</v>
      </c>
      <c r="K7" s="7">
        <v>1517</v>
      </c>
      <c r="L7" s="7">
        <v>1355</v>
      </c>
      <c r="M7" s="7">
        <v>635</v>
      </c>
      <c r="N7" s="7">
        <v>1000</v>
      </c>
      <c r="O7" s="7">
        <v>575</v>
      </c>
      <c r="P7" s="7">
        <v>1449</v>
      </c>
      <c r="Q7" s="7">
        <v>1352</v>
      </c>
      <c r="R7" s="7">
        <v>1537</v>
      </c>
      <c r="S7" s="7">
        <v>508</v>
      </c>
      <c r="T7" s="7">
        <v>676</v>
      </c>
      <c r="U7" s="7">
        <v>799</v>
      </c>
      <c r="V7" s="7">
        <v>1045</v>
      </c>
      <c r="W7" s="7">
        <v>1721</v>
      </c>
      <c r="X7" s="7">
        <v>1660</v>
      </c>
      <c r="Y7" s="7">
        <v>577</v>
      </c>
      <c r="Z7" s="7">
        <v>479</v>
      </c>
      <c r="AA7" s="7">
        <v>537</v>
      </c>
      <c r="AB7" s="8">
        <f t="shared" si="0"/>
        <v>29058</v>
      </c>
    </row>
    <row r="8" spans="1:28">
      <c r="A8" s="5" t="s">
        <v>7</v>
      </c>
      <c r="B8" s="7">
        <v>462</v>
      </c>
      <c r="C8" s="7">
        <v>1133</v>
      </c>
      <c r="D8" s="7">
        <v>864</v>
      </c>
      <c r="E8" s="7">
        <v>716</v>
      </c>
      <c r="F8" s="7">
        <v>901</v>
      </c>
      <c r="G8" s="7">
        <v>841</v>
      </c>
      <c r="H8" s="6">
        <v>38</v>
      </c>
      <c r="I8" s="7">
        <v>430</v>
      </c>
      <c r="J8" s="7">
        <v>838</v>
      </c>
      <c r="K8" s="7">
        <v>777</v>
      </c>
      <c r="L8" s="7">
        <v>654</v>
      </c>
      <c r="M8" s="7">
        <v>332</v>
      </c>
      <c r="N8" s="7">
        <v>454</v>
      </c>
      <c r="O8" s="7">
        <v>289</v>
      </c>
      <c r="P8" s="7">
        <v>726</v>
      </c>
      <c r="Q8" s="7">
        <v>680</v>
      </c>
      <c r="R8" s="7">
        <v>773</v>
      </c>
      <c r="S8" s="7">
        <v>255</v>
      </c>
      <c r="T8" s="7">
        <v>340</v>
      </c>
      <c r="U8" s="7">
        <v>402</v>
      </c>
      <c r="V8" s="7">
        <v>525</v>
      </c>
      <c r="W8" s="7">
        <v>865</v>
      </c>
      <c r="X8" s="7">
        <v>835</v>
      </c>
      <c r="Y8" s="7">
        <v>291</v>
      </c>
      <c r="Z8" s="7">
        <v>241</v>
      </c>
      <c r="AA8" s="7">
        <v>271</v>
      </c>
      <c r="AB8" s="8">
        <f t="shared" si="0"/>
        <v>14933</v>
      </c>
    </row>
    <row r="9" spans="1:28">
      <c r="A9" s="5" t="s">
        <v>8</v>
      </c>
      <c r="B9" s="7">
        <v>456</v>
      </c>
      <c r="C9" s="7">
        <v>1253</v>
      </c>
      <c r="D9" s="7">
        <v>841</v>
      </c>
      <c r="E9" s="7">
        <v>680</v>
      </c>
      <c r="F9" s="7">
        <v>1006</v>
      </c>
      <c r="G9" s="7">
        <v>791</v>
      </c>
      <c r="H9" s="7">
        <v>430</v>
      </c>
      <c r="I9" s="6">
        <v>80</v>
      </c>
      <c r="J9" s="7">
        <v>718</v>
      </c>
      <c r="K9" s="7">
        <v>753</v>
      </c>
      <c r="L9" s="7">
        <v>715</v>
      </c>
      <c r="M9" s="7">
        <v>307</v>
      </c>
      <c r="N9" s="7">
        <v>559</v>
      </c>
      <c r="O9" s="7">
        <v>291</v>
      </c>
      <c r="P9" s="7">
        <v>736</v>
      </c>
      <c r="Q9" s="7">
        <v>684</v>
      </c>
      <c r="R9" s="7">
        <v>777</v>
      </c>
      <c r="S9" s="7">
        <v>257</v>
      </c>
      <c r="T9" s="7">
        <v>342</v>
      </c>
      <c r="U9" s="7">
        <v>404</v>
      </c>
      <c r="V9" s="7">
        <v>529</v>
      </c>
      <c r="W9" s="7">
        <v>871</v>
      </c>
      <c r="X9" s="7">
        <v>839</v>
      </c>
      <c r="Y9" s="7">
        <v>291</v>
      </c>
      <c r="Z9" s="7">
        <v>243</v>
      </c>
      <c r="AA9" s="7">
        <v>271</v>
      </c>
      <c r="AB9" s="8">
        <f t="shared" si="0"/>
        <v>15124</v>
      </c>
    </row>
    <row r="10" spans="1:28">
      <c r="A10" s="5" t="s">
        <v>9</v>
      </c>
      <c r="B10" s="7">
        <v>891</v>
      </c>
      <c r="C10" s="7">
        <v>2435</v>
      </c>
      <c r="D10" s="7">
        <v>1642</v>
      </c>
      <c r="E10" s="7">
        <v>1330</v>
      </c>
      <c r="F10" s="7">
        <v>1955</v>
      </c>
      <c r="G10" s="7">
        <v>1546</v>
      </c>
      <c r="H10" s="7">
        <v>838</v>
      </c>
      <c r="I10" s="7">
        <v>718</v>
      </c>
      <c r="J10" s="6">
        <v>297</v>
      </c>
      <c r="K10" s="7">
        <v>1470</v>
      </c>
      <c r="L10" s="7">
        <v>1390</v>
      </c>
      <c r="M10" s="7">
        <v>600</v>
      </c>
      <c r="N10" s="7">
        <v>1082</v>
      </c>
      <c r="O10" s="7">
        <v>568</v>
      </c>
      <c r="P10" s="7">
        <v>1436</v>
      </c>
      <c r="Q10" s="7">
        <v>1334</v>
      </c>
      <c r="R10" s="7">
        <v>1516</v>
      </c>
      <c r="S10" s="7">
        <v>501</v>
      </c>
      <c r="T10" s="7">
        <v>667</v>
      </c>
      <c r="U10" s="7">
        <v>788</v>
      </c>
      <c r="V10" s="7">
        <v>1031</v>
      </c>
      <c r="W10" s="7">
        <v>1698</v>
      </c>
      <c r="X10" s="7">
        <v>1637</v>
      </c>
      <c r="Y10" s="7">
        <v>568</v>
      </c>
      <c r="Z10" s="7">
        <v>473</v>
      </c>
      <c r="AA10" s="7">
        <v>529</v>
      </c>
      <c r="AB10" s="8">
        <f t="shared" si="0"/>
        <v>28940</v>
      </c>
    </row>
    <row r="11" spans="1:28">
      <c r="A11" s="5" t="s">
        <v>10</v>
      </c>
      <c r="B11" s="7">
        <v>847</v>
      </c>
      <c r="C11" s="7">
        <v>2157</v>
      </c>
      <c r="D11" s="7">
        <v>1576</v>
      </c>
      <c r="E11" s="7">
        <v>1296</v>
      </c>
      <c r="F11" s="7">
        <v>1721</v>
      </c>
      <c r="G11" s="7">
        <v>1517</v>
      </c>
      <c r="H11" s="7">
        <v>777</v>
      </c>
      <c r="I11" s="7">
        <v>753</v>
      </c>
      <c r="J11" s="7">
        <v>1470</v>
      </c>
      <c r="K11" s="6">
        <v>169</v>
      </c>
      <c r="L11" s="7">
        <v>1240</v>
      </c>
      <c r="M11" s="7">
        <v>596</v>
      </c>
      <c r="N11" s="7">
        <v>898</v>
      </c>
      <c r="O11" s="7">
        <v>533</v>
      </c>
      <c r="P11" s="7">
        <v>1342</v>
      </c>
      <c r="Q11" s="7">
        <v>1254</v>
      </c>
      <c r="R11" s="7">
        <v>1425</v>
      </c>
      <c r="S11" s="7">
        <v>470</v>
      </c>
      <c r="T11" s="7">
        <v>627</v>
      </c>
      <c r="U11" s="7">
        <v>741</v>
      </c>
      <c r="V11" s="7">
        <v>969</v>
      </c>
      <c r="W11" s="7">
        <v>1596</v>
      </c>
      <c r="X11" s="7">
        <v>1539</v>
      </c>
      <c r="Y11" s="7">
        <v>535</v>
      </c>
      <c r="Z11" s="7">
        <v>445</v>
      </c>
      <c r="AA11" s="7">
        <v>498</v>
      </c>
      <c r="AB11" s="8">
        <f t="shared" si="0"/>
        <v>26991</v>
      </c>
    </row>
    <row r="12" spans="1:28">
      <c r="A12" s="5" t="s">
        <v>11</v>
      </c>
      <c r="B12" s="7">
        <v>733</v>
      </c>
      <c r="C12" s="7">
        <v>1723</v>
      </c>
      <c r="D12" s="7">
        <v>1378</v>
      </c>
      <c r="E12" s="7">
        <v>1151</v>
      </c>
      <c r="F12" s="7">
        <v>1365</v>
      </c>
      <c r="G12" s="7">
        <v>1355</v>
      </c>
      <c r="H12" s="7">
        <v>654</v>
      </c>
      <c r="I12" s="7">
        <v>715</v>
      </c>
      <c r="J12" s="7">
        <v>1390</v>
      </c>
      <c r="K12" s="7">
        <v>1240</v>
      </c>
      <c r="L12" s="6">
        <v>66</v>
      </c>
      <c r="M12" s="7">
        <v>539</v>
      </c>
      <c r="N12" s="7">
        <v>658</v>
      </c>
      <c r="O12" s="7">
        <v>455</v>
      </c>
      <c r="P12" s="7">
        <v>1140</v>
      </c>
      <c r="Q12" s="7">
        <v>1072</v>
      </c>
      <c r="R12" s="7">
        <v>1218</v>
      </c>
      <c r="S12" s="7">
        <v>401</v>
      </c>
      <c r="T12" s="7">
        <v>536</v>
      </c>
      <c r="U12" s="7">
        <v>633</v>
      </c>
      <c r="V12" s="7">
        <v>828</v>
      </c>
      <c r="W12" s="7">
        <v>1364</v>
      </c>
      <c r="X12" s="7">
        <v>1315</v>
      </c>
      <c r="Y12" s="7">
        <v>459</v>
      </c>
      <c r="Z12" s="7">
        <v>380</v>
      </c>
      <c r="AA12" s="7">
        <v>427</v>
      </c>
      <c r="AB12" s="8">
        <f t="shared" si="0"/>
        <v>23195</v>
      </c>
    </row>
    <row r="13" spans="1:28">
      <c r="A13" s="5" t="s">
        <v>12</v>
      </c>
      <c r="B13" s="7">
        <v>359</v>
      </c>
      <c r="C13" s="7">
        <v>940</v>
      </c>
      <c r="D13" s="7">
        <v>665</v>
      </c>
      <c r="E13" s="7">
        <v>544</v>
      </c>
      <c r="F13" s="7">
        <v>752</v>
      </c>
      <c r="G13" s="7">
        <v>635</v>
      </c>
      <c r="H13" s="7">
        <v>332</v>
      </c>
      <c r="I13" s="7">
        <v>307</v>
      </c>
      <c r="J13" s="7">
        <v>600</v>
      </c>
      <c r="K13" s="7">
        <v>596</v>
      </c>
      <c r="L13" s="7">
        <v>539</v>
      </c>
      <c r="M13" s="6">
        <v>37</v>
      </c>
      <c r="N13" s="7">
        <v>402</v>
      </c>
      <c r="O13" s="7">
        <v>227</v>
      </c>
      <c r="P13" s="7">
        <v>572</v>
      </c>
      <c r="Q13" s="7">
        <v>533</v>
      </c>
      <c r="R13" s="7">
        <v>606</v>
      </c>
      <c r="S13" s="7">
        <v>200</v>
      </c>
      <c r="T13" s="7">
        <v>267</v>
      </c>
      <c r="U13" s="7">
        <v>315</v>
      </c>
      <c r="V13" s="7">
        <v>412</v>
      </c>
      <c r="W13" s="7">
        <v>679</v>
      </c>
      <c r="X13" s="7">
        <v>655</v>
      </c>
      <c r="Y13" s="7">
        <v>227</v>
      </c>
      <c r="Z13" s="7">
        <v>189</v>
      </c>
      <c r="AA13" s="7">
        <v>212</v>
      </c>
      <c r="AB13" s="8">
        <f t="shared" si="0"/>
        <v>11802</v>
      </c>
    </row>
    <row r="14" spans="1:28">
      <c r="A14" s="5" t="s">
        <v>13</v>
      </c>
      <c r="B14" s="7">
        <v>524</v>
      </c>
      <c r="C14" s="7">
        <v>1122</v>
      </c>
      <c r="D14" s="7">
        <v>994</v>
      </c>
      <c r="E14" s="7">
        <v>844</v>
      </c>
      <c r="F14" s="7">
        <v>881</v>
      </c>
      <c r="G14" s="7">
        <v>1000</v>
      </c>
      <c r="H14" s="7">
        <v>454</v>
      </c>
      <c r="I14" s="7">
        <v>559</v>
      </c>
      <c r="J14" s="7">
        <v>1082</v>
      </c>
      <c r="K14" s="7">
        <v>898</v>
      </c>
      <c r="L14" s="7">
        <v>658</v>
      </c>
      <c r="M14" s="7">
        <v>402</v>
      </c>
      <c r="N14" s="6">
        <v>12</v>
      </c>
      <c r="O14" s="7">
        <v>320</v>
      </c>
      <c r="P14" s="7">
        <v>798</v>
      </c>
      <c r="Q14" s="7">
        <v>755</v>
      </c>
      <c r="R14" s="7">
        <v>858</v>
      </c>
      <c r="S14" s="7">
        <v>282</v>
      </c>
      <c r="T14" s="7">
        <v>378</v>
      </c>
      <c r="U14" s="7">
        <v>446</v>
      </c>
      <c r="V14" s="7">
        <v>584</v>
      </c>
      <c r="W14" s="7">
        <v>961</v>
      </c>
      <c r="X14" s="7">
        <v>927</v>
      </c>
      <c r="Y14" s="7">
        <v>324</v>
      </c>
      <c r="Z14" s="7">
        <v>268</v>
      </c>
      <c r="AA14" s="7">
        <v>301</v>
      </c>
      <c r="AB14" s="8">
        <f t="shared" si="0"/>
        <v>16632</v>
      </c>
    </row>
    <row r="15" spans="1:28">
      <c r="A15" s="9" t="s">
        <v>14</v>
      </c>
      <c r="B15" s="7">
        <v>318</v>
      </c>
      <c r="C15" s="7">
        <v>789</v>
      </c>
      <c r="D15" s="7">
        <v>593</v>
      </c>
      <c r="E15" s="7">
        <v>490</v>
      </c>
      <c r="F15" s="7">
        <v>628</v>
      </c>
      <c r="G15" s="7">
        <v>575</v>
      </c>
      <c r="H15" s="7">
        <v>289</v>
      </c>
      <c r="I15" s="7">
        <v>291</v>
      </c>
      <c r="J15" s="7">
        <v>568</v>
      </c>
      <c r="K15" s="7">
        <v>533</v>
      </c>
      <c r="L15" s="7">
        <v>455</v>
      </c>
      <c r="M15" s="7">
        <v>227</v>
      </c>
      <c r="N15" s="7">
        <v>320</v>
      </c>
      <c r="O15" s="6">
        <v>2340</v>
      </c>
      <c r="P15" s="7">
        <v>1380</v>
      </c>
      <c r="Q15" s="7">
        <v>5100</v>
      </c>
      <c r="R15" s="7">
        <v>204</v>
      </c>
      <c r="S15" s="7">
        <v>59</v>
      </c>
      <c r="T15" s="7">
        <v>78</v>
      </c>
      <c r="U15" s="7">
        <v>1140</v>
      </c>
      <c r="V15" s="7">
        <v>336</v>
      </c>
      <c r="W15" s="7">
        <v>690</v>
      </c>
      <c r="X15" s="7">
        <v>282</v>
      </c>
      <c r="Y15" s="7">
        <v>93</v>
      </c>
      <c r="Z15" s="7">
        <v>150</v>
      </c>
      <c r="AA15" s="7">
        <v>483</v>
      </c>
      <c r="AB15" s="8">
        <f t="shared" si="0"/>
        <v>18411</v>
      </c>
    </row>
    <row r="16" spans="1:28">
      <c r="A16" s="9" t="s">
        <v>15</v>
      </c>
      <c r="B16" s="7">
        <v>800</v>
      </c>
      <c r="C16" s="7">
        <v>1976</v>
      </c>
      <c r="D16" s="7">
        <v>1493</v>
      </c>
      <c r="E16" s="7">
        <v>1235</v>
      </c>
      <c r="F16" s="7">
        <v>1573</v>
      </c>
      <c r="G16" s="7">
        <v>1449</v>
      </c>
      <c r="H16" s="7">
        <v>726</v>
      </c>
      <c r="I16" s="7">
        <v>736</v>
      </c>
      <c r="J16" s="7">
        <v>1436</v>
      </c>
      <c r="K16" s="7">
        <v>1342</v>
      </c>
      <c r="L16" s="7">
        <v>1140</v>
      </c>
      <c r="M16" s="7">
        <v>572</v>
      </c>
      <c r="N16" s="7">
        <v>798</v>
      </c>
      <c r="O16" s="7">
        <v>1380</v>
      </c>
      <c r="P16" s="6">
        <v>1920</v>
      </c>
      <c r="Q16" s="7">
        <v>2280</v>
      </c>
      <c r="R16" s="7">
        <v>357</v>
      </c>
      <c r="S16" s="7">
        <v>150</v>
      </c>
      <c r="T16" s="7">
        <v>282</v>
      </c>
      <c r="U16" s="7">
        <v>2130</v>
      </c>
      <c r="V16" s="7">
        <v>525</v>
      </c>
      <c r="W16" s="7">
        <v>780</v>
      </c>
      <c r="X16" s="7">
        <v>426</v>
      </c>
      <c r="Y16" s="7">
        <v>204</v>
      </c>
      <c r="Z16" s="7">
        <v>279</v>
      </c>
      <c r="AA16" s="7">
        <v>516</v>
      </c>
      <c r="AB16" s="8">
        <f t="shared" si="0"/>
        <v>26505</v>
      </c>
    </row>
    <row r="17" spans="1:28">
      <c r="A17" s="9" t="s">
        <v>16</v>
      </c>
      <c r="B17" s="7">
        <v>748</v>
      </c>
      <c r="C17" s="7">
        <v>1859</v>
      </c>
      <c r="D17" s="7">
        <v>1395</v>
      </c>
      <c r="E17" s="7">
        <v>1153</v>
      </c>
      <c r="F17" s="7">
        <v>1480</v>
      </c>
      <c r="G17" s="7">
        <v>1352</v>
      </c>
      <c r="H17" s="7">
        <v>680</v>
      </c>
      <c r="I17" s="7">
        <v>684</v>
      </c>
      <c r="J17" s="7">
        <v>1334</v>
      </c>
      <c r="K17" s="7">
        <v>1254</v>
      </c>
      <c r="L17" s="7">
        <v>1072</v>
      </c>
      <c r="M17" s="7">
        <v>533</v>
      </c>
      <c r="N17" s="7">
        <v>755</v>
      </c>
      <c r="O17" s="7">
        <v>5100</v>
      </c>
      <c r="P17" s="7">
        <v>2280</v>
      </c>
      <c r="Q17" s="6">
        <v>5280</v>
      </c>
      <c r="R17" s="7">
        <v>780</v>
      </c>
      <c r="S17" s="7">
        <v>303</v>
      </c>
      <c r="T17" s="7">
        <v>441</v>
      </c>
      <c r="U17" s="7">
        <v>1200</v>
      </c>
      <c r="V17" s="7">
        <v>579</v>
      </c>
      <c r="W17" s="7">
        <v>3660</v>
      </c>
      <c r="X17" s="7">
        <v>1110</v>
      </c>
      <c r="Y17" s="7">
        <v>399</v>
      </c>
      <c r="Z17" s="7">
        <v>309</v>
      </c>
      <c r="AA17" s="7">
        <v>3720</v>
      </c>
      <c r="AB17" s="8">
        <f t="shared" si="0"/>
        <v>39460</v>
      </c>
    </row>
    <row r="18" spans="1:28">
      <c r="A18" s="9" t="s">
        <v>17</v>
      </c>
      <c r="B18" s="7">
        <v>850</v>
      </c>
      <c r="C18" s="7">
        <v>2112</v>
      </c>
      <c r="D18" s="7">
        <v>1586</v>
      </c>
      <c r="E18" s="7">
        <v>1310</v>
      </c>
      <c r="F18" s="7">
        <v>1682</v>
      </c>
      <c r="G18" s="7">
        <v>1537</v>
      </c>
      <c r="H18" s="7">
        <v>773</v>
      </c>
      <c r="I18" s="7">
        <v>777</v>
      </c>
      <c r="J18" s="7">
        <v>1516</v>
      </c>
      <c r="K18" s="7">
        <v>1425</v>
      </c>
      <c r="L18" s="7">
        <v>1218</v>
      </c>
      <c r="M18" s="7">
        <v>606</v>
      </c>
      <c r="N18" s="7">
        <v>858</v>
      </c>
      <c r="O18" s="7">
        <v>204</v>
      </c>
      <c r="P18" s="7">
        <v>357</v>
      </c>
      <c r="Q18" s="7">
        <v>780</v>
      </c>
      <c r="R18" s="6">
        <v>2400</v>
      </c>
      <c r="S18" s="7">
        <v>1080</v>
      </c>
      <c r="T18" s="7">
        <v>381</v>
      </c>
      <c r="U18" s="7">
        <v>402</v>
      </c>
      <c r="V18" s="7">
        <v>660</v>
      </c>
      <c r="W18" s="7">
        <v>1290</v>
      </c>
      <c r="X18" s="7">
        <v>3240</v>
      </c>
      <c r="Y18" s="7">
        <v>1170</v>
      </c>
      <c r="Z18" s="7">
        <v>519</v>
      </c>
      <c r="AA18" s="7">
        <v>438</v>
      </c>
      <c r="AB18" s="8">
        <f t="shared" si="0"/>
        <v>29171</v>
      </c>
    </row>
    <row r="19" spans="1:28">
      <c r="A19" s="9" t="s">
        <v>18</v>
      </c>
      <c r="B19" s="7">
        <v>280</v>
      </c>
      <c r="C19" s="7">
        <v>696</v>
      </c>
      <c r="D19" s="7">
        <v>524</v>
      </c>
      <c r="E19" s="7">
        <v>433</v>
      </c>
      <c r="F19" s="7">
        <v>554</v>
      </c>
      <c r="G19" s="7">
        <v>508</v>
      </c>
      <c r="H19" s="7">
        <v>255</v>
      </c>
      <c r="I19" s="7">
        <v>257</v>
      </c>
      <c r="J19" s="7">
        <v>501</v>
      </c>
      <c r="K19" s="7">
        <v>470</v>
      </c>
      <c r="L19" s="7">
        <v>401</v>
      </c>
      <c r="M19" s="7">
        <v>200</v>
      </c>
      <c r="N19" s="7">
        <v>282</v>
      </c>
      <c r="O19" s="7">
        <v>59</v>
      </c>
      <c r="P19" s="7">
        <v>150</v>
      </c>
      <c r="Q19" s="7">
        <v>303</v>
      </c>
      <c r="R19" s="7">
        <v>1080</v>
      </c>
      <c r="S19" s="6">
        <v>96</v>
      </c>
      <c r="T19" s="7">
        <v>93</v>
      </c>
      <c r="U19" s="7">
        <v>159</v>
      </c>
      <c r="V19" s="7">
        <v>201</v>
      </c>
      <c r="W19" s="7">
        <v>450</v>
      </c>
      <c r="X19" s="7">
        <v>2040</v>
      </c>
      <c r="Y19" s="7">
        <v>576</v>
      </c>
      <c r="Z19" s="7">
        <v>270</v>
      </c>
      <c r="AA19" s="7">
        <v>150</v>
      </c>
      <c r="AB19" s="8">
        <f t="shared" si="0"/>
        <v>10988</v>
      </c>
    </row>
    <row r="20" spans="1:28">
      <c r="A20" s="9" t="s">
        <v>19</v>
      </c>
      <c r="B20" s="7">
        <v>374</v>
      </c>
      <c r="C20" s="7">
        <v>929</v>
      </c>
      <c r="D20" s="7">
        <v>698</v>
      </c>
      <c r="E20" s="7">
        <v>577</v>
      </c>
      <c r="F20" s="7">
        <v>740</v>
      </c>
      <c r="G20" s="7">
        <v>676</v>
      </c>
      <c r="H20" s="7">
        <v>340</v>
      </c>
      <c r="I20" s="7">
        <v>342</v>
      </c>
      <c r="J20" s="7">
        <v>667</v>
      </c>
      <c r="K20" s="7">
        <v>627</v>
      </c>
      <c r="L20" s="7">
        <v>536</v>
      </c>
      <c r="M20" s="7">
        <v>267</v>
      </c>
      <c r="N20" s="7">
        <v>378</v>
      </c>
      <c r="O20" s="7">
        <v>78</v>
      </c>
      <c r="P20" s="7">
        <v>282</v>
      </c>
      <c r="Q20" s="7">
        <v>441</v>
      </c>
      <c r="R20" s="7">
        <v>381</v>
      </c>
      <c r="S20" s="7">
        <v>93</v>
      </c>
      <c r="T20" s="6">
        <v>354</v>
      </c>
      <c r="U20" s="7">
        <v>438</v>
      </c>
      <c r="V20" s="7">
        <v>1380</v>
      </c>
      <c r="W20" s="7">
        <v>396</v>
      </c>
      <c r="X20" s="7">
        <v>303</v>
      </c>
      <c r="Y20" s="7">
        <v>150</v>
      </c>
      <c r="Z20" s="7">
        <v>810</v>
      </c>
      <c r="AA20" s="7">
        <v>192</v>
      </c>
      <c r="AB20" s="8">
        <f t="shared" si="0"/>
        <v>12449</v>
      </c>
    </row>
    <row r="21" spans="1:28">
      <c r="A21" s="9" t="s">
        <v>20</v>
      </c>
      <c r="B21" s="7">
        <v>442</v>
      </c>
      <c r="C21" s="7">
        <v>1098</v>
      </c>
      <c r="D21" s="7">
        <v>825</v>
      </c>
      <c r="E21" s="7">
        <v>681</v>
      </c>
      <c r="F21" s="7">
        <v>875</v>
      </c>
      <c r="G21" s="7">
        <v>799</v>
      </c>
      <c r="H21" s="7">
        <v>402</v>
      </c>
      <c r="I21" s="7">
        <v>404</v>
      </c>
      <c r="J21" s="7">
        <v>788</v>
      </c>
      <c r="K21" s="7">
        <v>741</v>
      </c>
      <c r="L21" s="7">
        <v>633</v>
      </c>
      <c r="M21" s="7">
        <v>315</v>
      </c>
      <c r="N21" s="7">
        <v>446</v>
      </c>
      <c r="O21" s="7">
        <v>1140</v>
      </c>
      <c r="P21" s="7">
        <v>2130</v>
      </c>
      <c r="Q21" s="7">
        <v>1200</v>
      </c>
      <c r="R21" s="7">
        <v>402</v>
      </c>
      <c r="S21" s="7">
        <v>159</v>
      </c>
      <c r="T21" s="7">
        <v>438</v>
      </c>
      <c r="U21" s="6">
        <v>2280</v>
      </c>
      <c r="V21" s="7">
        <v>1440</v>
      </c>
      <c r="W21" s="7">
        <v>480</v>
      </c>
      <c r="X21" s="7">
        <v>474</v>
      </c>
      <c r="Y21" s="7">
        <v>189</v>
      </c>
      <c r="Z21" s="7">
        <v>1080</v>
      </c>
      <c r="AA21" s="7">
        <v>309</v>
      </c>
      <c r="AB21" s="8">
        <f t="shared" si="0"/>
        <v>20170</v>
      </c>
    </row>
    <row r="22" spans="1:28">
      <c r="A22" s="9" t="s">
        <v>21</v>
      </c>
      <c r="B22" s="7">
        <v>578</v>
      </c>
      <c r="C22" s="7">
        <v>1436</v>
      </c>
      <c r="D22" s="7">
        <v>1078</v>
      </c>
      <c r="E22" s="7">
        <v>891</v>
      </c>
      <c r="F22" s="7">
        <v>1144</v>
      </c>
      <c r="G22" s="7">
        <v>1045</v>
      </c>
      <c r="H22" s="7">
        <v>525</v>
      </c>
      <c r="I22" s="7">
        <v>529</v>
      </c>
      <c r="J22" s="7">
        <v>1031</v>
      </c>
      <c r="K22" s="7">
        <v>969</v>
      </c>
      <c r="L22" s="7">
        <v>828</v>
      </c>
      <c r="M22" s="7">
        <v>412</v>
      </c>
      <c r="N22" s="7">
        <v>584</v>
      </c>
      <c r="O22" s="7">
        <v>336</v>
      </c>
      <c r="P22" s="7">
        <v>525</v>
      </c>
      <c r="Q22" s="7">
        <v>579</v>
      </c>
      <c r="R22" s="7">
        <v>660</v>
      </c>
      <c r="S22" s="7">
        <v>201</v>
      </c>
      <c r="T22" s="7">
        <v>1380</v>
      </c>
      <c r="U22" s="7">
        <v>1440</v>
      </c>
      <c r="V22" s="6">
        <v>1500</v>
      </c>
      <c r="W22" s="7">
        <v>495</v>
      </c>
      <c r="X22" s="7">
        <v>408</v>
      </c>
      <c r="Y22" s="7">
        <v>258</v>
      </c>
      <c r="Z22" s="7">
        <v>660</v>
      </c>
      <c r="AA22" s="7">
        <v>249</v>
      </c>
      <c r="AB22" s="8">
        <f t="shared" si="0"/>
        <v>19741</v>
      </c>
    </row>
    <row r="23" spans="1:28">
      <c r="A23" s="9" t="s">
        <v>22</v>
      </c>
      <c r="B23" s="7">
        <v>952</v>
      </c>
      <c r="C23" s="7">
        <v>2366</v>
      </c>
      <c r="D23" s="7">
        <v>1776</v>
      </c>
      <c r="E23" s="7">
        <v>1468</v>
      </c>
      <c r="F23" s="7">
        <v>1884</v>
      </c>
      <c r="G23" s="7">
        <v>1721</v>
      </c>
      <c r="H23" s="7">
        <v>865</v>
      </c>
      <c r="I23" s="7">
        <v>871</v>
      </c>
      <c r="J23" s="7">
        <v>1698</v>
      </c>
      <c r="K23" s="7">
        <v>1596</v>
      </c>
      <c r="L23" s="7">
        <v>1364</v>
      </c>
      <c r="M23" s="7">
        <v>679</v>
      </c>
      <c r="N23" s="7">
        <v>961</v>
      </c>
      <c r="O23" s="7">
        <v>690</v>
      </c>
      <c r="P23" s="7">
        <v>780</v>
      </c>
      <c r="Q23" s="7">
        <v>3660</v>
      </c>
      <c r="R23" s="7">
        <v>1290</v>
      </c>
      <c r="S23" s="7">
        <v>450</v>
      </c>
      <c r="T23" s="7">
        <v>396</v>
      </c>
      <c r="U23" s="7">
        <v>480</v>
      </c>
      <c r="V23" s="7">
        <v>495</v>
      </c>
      <c r="W23" s="6">
        <v>4020</v>
      </c>
      <c r="X23" s="7">
        <v>3690</v>
      </c>
      <c r="Y23" s="7">
        <v>660</v>
      </c>
      <c r="Z23" s="7">
        <v>339</v>
      </c>
      <c r="AA23" s="7">
        <v>1680</v>
      </c>
      <c r="AB23" s="8">
        <f t="shared" si="0"/>
        <v>36831</v>
      </c>
    </row>
    <row r="24" spans="1:28">
      <c r="A24" s="9" t="s">
        <v>23</v>
      </c>
      <c r="B24" s="7">
        <v>918</v>
      </c>
      <c r="C24" s="7">
        <v>2281</v>
      </c>
      <c r="D24" s="7">
        <v>1713</v>
      </c>
      <c r="E24" s="7">
        <v>1415</v>
      </c>
      <c r="F24" s="7">
        <v>1817</v>
      </c>
      <c r="G24" s="7">
        <v>1660</v>
      </c>
      <c r="H24" s="7">
        <v>835</v>
      </c>
      <c r="I24" s="7">
        <v>839</v>
      </c>
      <c r="J24" s="7">
        <v>1637</v>
      </c>
      <c r="K24" s="7">
        <v>1539</v>
      </c>
      <c r="L24" s="7">
        <v>1315</v>
      </c>
      <c r="M24" s="7">
        <v>655</v>
      </c>
      <c r="N24" s="7">
        <v>927</v>
      </c>
      <c r="O24" s="7">
        <v>282</v>
      </c>
      <c r="P24" s="7">
        <v>426</v>
      </c>
      <c r="Q24" s="7">
        <v>1110</v>
      </c>
      <c r="R24" s="7">
        <v>3240</v>
      </c>
      <c r="S24" s="7">
        <v>2040</v>
      </c>
      <c r="T24" s="7">
        <v>303</v>
      </c>
      <c r="U24" s="7">
        <v>474</v>
      </c>
      <c r="V24" s="7">
        <v>408</v>
      </c>
      <c r="W24" s="7">
        <v>3690</v>
      </c>
      <c r="X24" s="6">
        <v>10200</v>
      </c>
      <c r="Y24" s="7">
        <v>2790</v>
      </c>
      <c r="Z24" s="7">
        <v>498</v>
      </c>
      <c r="AA24" s="7">
        <v>690</v>
      </c>
      <c r="AB24" s="8">
        <f t="shared" si="0"/>
        <v>43702</v>
      </c>
    </row>
    <row r="25" spans="1:28">
      <c r="A25" s="9" t="s">
        <v>24</v>
      </c>
      <c r="B25" s="7">
        <v>319</v>
      </c>
      <c r="C25" s="7">
        <v>796</v>
      </c>
      <c r="D25" s="7">
        <v>596</v>
      </c>
      <c r="E25" s="7">
        <v>492</v>
      </c>
      <c r="F25" s="7">
        <v>634</v>
      </c>
      <c r="G25" s="7">
        <v>577</v>
      </c>
      <c r="H25" s="7">
        <v>291</v>
      </c>
      <c r="I25" s="7">
        <v>291</v>
      </c>
      <c r="J25" s="7">
        <v>568</v>
      </c>
      <c r="K25" s="7">
        <v>535</v>
      </c>
      <c r="L25" s="7">
        <v>459</v>
      </c>
      <c r="M25" s="7">
        <v>227</v>
      </c>
      <c r="N25" s="7">
        <v>324</v>
      </c>
      <c r="O25" s="7">
        <v>93</v>
      </c>
      <c r="P25" s="7">
        <v>204</v>
      </c>
      <c r="Q25" s="7">
        <v>399</v>
      </c>
      <c r="R25" s="7">
        <v>1170</v>
      </c>
      <c r="S25" s="7">
        <v>576</v>
      </c>
      <c r="T25" s="7">
        <v>150</v>
      </c>
      <c r="U25" s="7">
        <v>189</v>
      </c>
      <c r="V25" s="7">
        <v>258</v>
      </c>
      <c r="W25" s="7">
        <v>660</v>
      </c>
      <c r="X25" s="7">
        <v>2790</v>
      </c>
      <c r="Y25" s="6">
        <v>720</v>
      </c>
      <c r="Z25" s="7">
        <v>438</v>
      </c>
      <c r="AA25" s="7">
        <v>192</v>
      </c>
      <c r="AB25" s="8">
        <f t="shared" si="0"/>
        <v>13948</v>
      </c>
    </row>
    <row r="26" spans="1:28">
      <c r="A26" s="9" t="s">
        <v>25</v>
      </c>
      <c r="B26" s="7">
        <v>265</v>
      </c>
      <c r="C26" s="7">
        <v>659</v>
      </c>
      <c r="D26" s="7">
        <v>495</v>
      </c>
      <c r="E26" s="7">
        <v>409</v>
      </c>
      <c r="F26" s="7">
        <v>525</v>
      </c>
      <c r="G26" s="7">
        <v>479</v>
      </c>
      <c r="H26" s="7">
        <v>241</v>
      </c>
      <c r="I26" s="7">
        <v>243</v>
      </c>
      <c r="J26" s="7">
        <v>473</v>
      </c>
      <c r="K26" s="7">
        <v>445</v>
      </c>
      <c r="L26" s="7">
        <v>380</v>
      </c>
      <c r="M26" s="7">
        <v>189</v>
      </c>
      <c r="N26" s="7">
        <v>268</v>
      </c>
      <c r="O26" s="7">
        <v>150</v>
      </c>
      <c r="P26" s="7">
        <v>279</v>
      </c>
      <c r="Q26" s="7">
        <v>309</v>
      </c>
      <c r="R26" s="7">
        <v>519</v>
      </c>
      <c r="S26" s="7">
        <v>270</v>
      </c>
      <c r="T26" s="7">
        <v>810</v>
      </c>
      <c r="U26" s="7">
        <v>1080</v>
      </c>
      <c r="V26" s="7">
        <v>660</v>
      </c>
      <c r="W26" s="7">
        <v>339</v>
      </c>
      <c r="X26" s="7">
        <v>498</v>
      </c>
      <c r="Y26" s="7">
        <v>438</v>
      </c>
      <c r="Z26" s="6">
        <v>240</v>
      </c>
      <c r="AA26" s="7">
        <v>144</v>
      </c>
      <c r="AB26" s="8">
        <f t="shared" si="0"/>
        <v>10807</v>
      </c>
    </row>
    <row r="27" spans="1:28">
      <c r="A27" s="9" t="s">
        <v>26</v>
      </c>
      <c r="B27" s="7">
        <v>297</v>
      </c>
      <c r="C27" s="7">
        <v>740</v>
      </c>
      <c r="D27" s="7">
        <v>555</v>
      </c>
      <c r="E27" s="7">
        <v>458</v>
      </c>
      <c r="F27" s="7">
        <v>590</v>
      </c>
      <c r="G27" s="7">
        <v>537</v>
      </c>
      <c r="H27" s="7">
        <v>271</v>
      </c>
      <c r="I27" s="7">
        <v>271</v>
      </c>
      <c r="J27" s="7">
        <v>529</v>
      </c>
      <c r="K27" s="7">
        <v>498</v>
      </c>
      <c r="L27" s="7">
        <v>427</v>
      </c>
      <c r="M27" s="7">
        <v>212</v>
      </c>
      <c r="N27" s="7">
        <v>301</v>
      </c>
      <c r="O27" s="7">
        <v>483</v>
      </c>
      <c r="P27" s="7">
        <v>516</v>
      </c>
      <c r="Q27" s="7">
        <v>3720</v>
      </c>
      <c r="R27" s="7">
        <v>438</v>
      </c>
      <c r="S27" s="7">
        <v>150</v>
      </c>
      <c r="T27" s="7">
        <v>192</v>
      </c>
      <c r="U27" s="7">
        <v>309</v>
      </c>
      <c r="V27" s="7">
        <v>249</v>
      </c>
      <c r="W27" s="7">
        <v>1680</v>
      </c>
      <c r="X27" s="7">
        <v>690</v>
      </c>
      <c r="Y27" s="7">
        <v>192</v>
      </c>
      <c r="Z27" s="7">
        <v>144</v>
      </c>
      <c r="AA27" s="6">
        <v>1800</v>
      </c>
      <c r="AB27" s="8">
        <f t="shared" si="0"/>
        <v>16249</v>
      </c>
    </row>
    <row r="28" spans="1:28">
      <c r="A28" s="4" t="s">
        <v>28</v>
      </c>
      <c r="B28" s="8">
        <f t="shared" ref="B28:AB28" si="1">SUM(B2:B27)</f>
        <v>16389</v>
      </c>
      <c r="C28" s="8">
        <f t="shared" si="1"/>
        <v>39069</v>
      </c>
      <c r="D28" s="8">
        <f t="shared" si="1"/>
        <v>29877</v>
      </c>
      <c r="E28" s="8">
        <f t="shared" si="1"/>
        <v>24942</v>
      </c>
      <c r="F28" s="8">
        <f t="shared" si="1"/>
        <v>31580</v>
      </c>
      <c r="G28" s="8">
        <f t="shared" si="1"/>
        <v>29058</v>
      </c>
      <c r="H28" s="8">
        <f t="shared" si="1"/>
        <v>14933</v>
      </c>
      <c r="I28" s="8">
        <f t="shared" si="1"/>
        <v>15124</v>
      </c>
      <c r="J28" s="8">
        <f t="shared" si="1"/>
        <v>28940</v>
      </c>
      <c r="K28" s="8">
        <f t="shared" si="1"/>
        <v>26991</v>
      </c>
      <c r="L28" s="8">
        <f t="shared" si="1"/>
        <v>23195</v>
      </c>
      <c r="M28" s="8">
        <f t="shared" si="1"/>
        <v>11802</v>
      </c>
      <c r="N28" s="8">
        <f t="shared" si="1"/>
        <v>16632</v>
      </c>
      <c r="O28" s="8">
        <f t="shared" si="1"/>
        <v>18411</v>
      </c>
      <c r="P28" s="8">
        <f t="shared" si="1"/>
        <v>26505</v>
      </c>
      <c r="Q28" s="8">
        <f t="shared" si="1"/>
        <v>39460</v>
      </c>
      <c r="R28" s="8">
        <f t="shared" si="1"/>
        <v>29171</v>
      </c>
      <c r="S28" s="8">
        <f t="shared" si="1"/>
        <v>10988</v>
      </c>
      <c r="T28" s="8">
        <f t="shared" si="1"/>
        <v>12449</v>
      </c>
      <c r="U28" s="8">
        <f t="shared" si="1"/>
        <v>20170</v>
      </c>
      <c r="V28" s="8">
        <f t="shared" si="1"/>
        <v>19741</v>
      </c>
      <c r="W28" s="8">
        <f t="shared" si="1"/>
        <v>36831</v>
      </c>
      <c r="X28" s="8">
        <f t="shared" si="1"/>
        <v>43702</v>
      </c>
      <c r="Y28" s="8">
        <f t="shared" si="1"/>
        <v>13948</v>
      </c>
      <c r="Z28" s="8">
        <f t="shared" si="1"/>
        <v>10807</v>
      </c>
      <c r="AA28" s="8">
        <f t="shared" si="1"/>
        <v>16249</v>
      </c>
      <c r="AB28" s="8">
        <f t="shared" si="1"/>
        <v>606964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A1E1-1F1A-4EE8-89A7-F2694BAE8B10}">
  <dimension ref="A1:O17"/>
  <sheetViews>
    <sheetView workbookViewId="0">
      <selection activeCell="A18" sqref="A18"/>
    </sheetView>
  </sheetViews>
  <sheetFormatPr defaultColWidth="16.42578125" defaultRowHeight="15"/>
  <cols>
    <col min="1" max="1" width="26.7109375" customWidth="1"/>
    <col min="2" max="15" width="14.5703125" customWidth="1"/>
  </cols>
  <sheetData>
    <row r="1" spans="1:15" ht="15.75" thickBot="1">
      <c r="A1" s="13" t="s">
        <v>29</v>
      </c>
      <c r="B1" s="13" t="s">
        <v>30</v>
      </c>
      <c r="C1" s="13" t="s">
        <v>14</v>
      </c>
      <c r="D1" s="13" t="s">
        <v>15</v>
      </c>
      <c r="E1" s="13" t="s">
        <v>31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3" t="s">
        <v>22</v>
      </c>
      <c r="L1" s="13" t="s">
        <v>32</v>
      </c>
      <c r="M1" s="13" t="s">
        <v>24</v>
      </c>
      <c r="N1" s="13" t="s">
        <v>25</v>
      </c>
      <c r="O1" s="13" t="s">
        <v>26</v>
      </c>
    </row>
    <row r="2" spans="1:15" ht="15.75" thickBot="1">
      <c r="A2" s="13" t="s">
        <v>30</v>
      </c>
      <c r="B2" s="13">
        <v>430000</v>
      </c>
      <c r="C2" s="14">
        <v>9400</v>
      </c>
      <c r="D2" s="14">
        <v>24000</v>
      </c>
      <c r="E2" s="14">
        <v>22000</v>
      </c>
      <c r="F2" s="14">
        <v>25000</v>
      </c>
      <c r="G2" s="14">
        <v>8300</v>
      </c>
      <c r="H2" s="14">
        <v>11000</v>
      </c>
      <c r="I2" s="14">
        <v>13000</v>
      </c>
      <c r="J2" s="14">
        <v>17000</v>
      </c>
      <c r="K2" s="14">
        <v>28000</v>
      </c>
      <c r="L2" s="14">
        <v>27000</v>
      </c>
      <c r="M2" s="14">
        <v>9300</v>
      </c>
      <c r="N2" s="14">
        <v>7800</v>
      </c>
      <c r="O2" s="14">
        <v>8700</v>
      </c>
    </row>
    <row r="3" spans="1:15" ht="15.75" thickBot="1">
      <c r="A3" s="13" t="s">
        <v>14</v>
      </c>
      <c r="B3" s="14">
        <v>9300</v>
      </c>
      <c r="C3" s="13">
        <v>3900</v>
      </c>
      <c r="D3" s="14">
        <v>2200</v>
      </c>
      <c r="E3" s="14">
        <v>8300</v>
      </c>
      <c r="F3" s="14">
        <v>360</v>
      </c>
      <c r="G3" s="14">
        <v>77</v>
      </c>
      <c r="H3" s="14">
        <v>120</v>
      </c>
      <c r="I3" s="14">
        <v>2000</v>
      </c>
      <c r="J3" s="14">
        <v>570</v>
      </c>
      <c r="K3" s="14">
        <v>1100</v>
      </c>
      <c r="L3" s="14">
        <v>480</v>
      </c>
      <c r="M3" s="14">
        <v>140</v>
      </c>
      <c r="N3" s="14">
        <v>240</v>
      </c>
      <c r="O3" s="14">
        <v>790</v>
      </c>
    </row>
    <row r="4" spans="1:15" ht="15.75" thickBot="1">
      <c r="A4" s="13" t="s">
        <v>15</v>
      </c>
      <c r="B4" s="14">
        <v>23000</v>
      </c>
      <c r="C4" s="14">
        <v>2400</v>
      </c>
      <c r="D4" s="13">
        <v>3200</v>
      </c>
      <c r="E4" s="14">
        <v>3800</v>
      </c>
      <c r="F4" s="14">
        <v>540</v>
      </c>
      <c r="G4" s="14">
        <v>250</v>
      </c>
      <c r="H4" s="14">
        <v>420</v>
      </c>
      <c r="I4" s="14">
        <v>3600</v>
      </c>
      <c r="J4" s="14">
        <v>910</v>
      </c>
      <c r="K4" s="14">
        <v>1300</v>
      </c>
      <c r="L4" s="14">
        <v>640</v>
      </c>
      <c r="M4" s="14">
        <v>360</v>
      </c>
      <c r="N4" s="14">
        <v>480</v>
      </c>
      <c r="O4" s="14">
        <v>860</v>
      </c>
    </row>
    <row r="5" spans="1:15" ht="15.75" thickBot="1">
      <c r="A5" s="13" t="s">
        <v>31</v>
      </c>
      <c r="B5" s="14">
        <v>22000</v>
      </c>
      <c r="C5" s="14">
        <v>8700</v>
      </c>
      <c r="D5" s="14">
        <v>3800</v>
      </c>
      <c r="E5" s="13">
        <v>8800</v>
      </c>
      <c r="F5" s="14">
        <v>1200</v>
      </c>
      <c r="G5" s="14">
        <v>500</v>
      </c>
      <c r="H5" s="14">
        <v>730</v>
      </c>
      <c r="I5" s="14">
        <v>2100</v>
      </c>
      <c r="J5" s="14">
        <v>970</v>
      </c>
      <c r="K5" s="14">
        <v>6100</v>
      </c>
      <c r="L5" s="14">
        <v>1900</v>
      </c>
      <c r="M5" s="14">
        <v>630</v>
      </c>
      <c r="N5" s="14">
        <v>520</v>
      </c>
      <c r="O5" s="14">
        <v>6300</v>
      </c>
    </row>
    <row r="6" spans="1:15" ht="15.75" thickBot="1">
      <c r="A6" s="13" t="s">
        <v>17</v>
      </c>
      <c r="B6" s="14">
        <v>25000</v>
      </c>
      <c r="C6" s="14">
        <v>320</v>
      </c>
      <c r="D6" s="14">
        <v>650</v>
      </c>
      <c r="E6" s="14">
        <v>1400</v>
      </c>
      <c r="F6" s="13">
        <v>4000</v>
      </c>
      <c r="G6" s="14">
        <v>1800</v>
      </c>
      <c r="H6" s="14">
        <v>590</v>
      </c>
      <c r="I6" s="14">
        <v>700</v>
      </c>
      <c r="J6" s="14">
        <v>1100</v>
      </c>
      <c r="K6" s="14">
        <v>2200</v>
      </c>
      <c r="L6" s="14">
        <v>5400</v>
      </c>
      <c r="M6" s="14">
        <v>2000</v>
      </c>
      <c r="N6" s="14">
        <v>880</v>
      </c>
      <c r="O6" s="14">
        <v>710</v>
      </c>
    </row>
    <row r="7" spans="1:15" ht="15.75" thickBot="1">
      <c r="A7" s="13" t="s">
        <v>18</v>
      </c>
      <c r="B7" s="14">
        <v>8200</v>
      </c>
      <c r="C7" s="14">
        <v>120</v>
      </c>
      <c r="D7" s="14">
        <v>250</v>
      </c>
      <c r="E7" s="14">
        <v>510</v>
      </c>
      <c r="F7" s="14">
        <v>1800</v>
      </c>
      <c r="G7" s="13">
        <v>160</v>
      </c>
      <c r="H7" s="14">
        <v>150</v>
      </c>
      <c r="I7" s="14">
        <v>280</v>
      </c>
      <c r="J7" s="14">
        <v>330</v>
      </c>
      <c r="K7" s="14">
        <v>780</v>
      </c>
      <c r="L7" s="14">
        <v>3300</v>
      </c>
      <c r="M7" s="14">
        <v>940</v>
      </c>
      <c r="N7" s="14">
        <v>470</v>
      </c>
      <c r="O7" s="14">
        <v>280</v>
      </c>
    </row>
    <row r="8" spans="1:15" ht="15.75" thickBot="1">
      <c r="A8" s="13" t="s">
        <v>19</v>
      </c>
      <c r="B8" s="14">
        <v>11000</v>
      </c>
      <c r="C8" s="14">
        <v>140</v>
      </c>
      <c r="D8" s="14">
        <v>520</v>
      </c>
      <c r="E8" s="14">
        <v>740</v>
      </c>
      <c r="F8" s="14">
        <v>680</v>
      </c>
      <c r="G8" s="14">
        <v>160</v>
      </c>
      <c r="H8" s="13">
        <v>590</v>
      </c>
      <c r="I8" s="14">
        <v>800</v>
      </c>
      <c r="J8" s="14">
        <v>2100</v>
      </c>
      <c r="K8" s="14">
        <v>670</v>
      </c>
      <c r="L8" s="14">
        <v>480</v>
      </c>
      <c r="M8" s="14">
        <v>230</v>
      </c>
      <c r="N8" s="14">
        <v>1200</v>
      </c>
      <c r="O8" s="14">
        <v>370</v>
      </c>
    </row>
    <row r="9" spans="1:15" ht="15.75" thickBot="1">
      <c r="A9" s="13" t="s">
        <v>20</v>
      </c>
      <c r="B9" s="14">
        <v>13000</v>
      </c>
      <c r="C9" s="14">
        <v>1800</v>
      </c>
      <c r="D9" s="14">
        <v>3500</v>
      </c>
      <c r="E9" s="14">
        <v>1900</v>
      </c>
      <c r="F9" s="14">
        <v>640</v>
      </c>
      <c r="G9" s="14">
        <v>250</v>
      </c>
      <c r="H9" s="14">
        <v>660</v>
      </c>
      <c r="I9" s="13">
        <v>3800</v>
      </c>
      <c r="J9" s="14">
        <v>2400</v>
      </c>
      <c r="K9" s="14">
        <v>780</v>
      </c>
      <c r="L9" s="14">
        <v>770</v>
      </c>
      <c r="M9" s="14">
        <v>270</v>
      </c>
      <c r="N9" s="14">
        <v>1800</v>
      </c>
      <c r="O9" s="14">
        <v>560</v>
      </c>
    </row>
    <row r="10" spans="1:15" ht="15.75" thickBot="1">
      <c r="A10" s="13" t="s">
        <v>21</v>
      </c>
      <c r="B10" s="14">
        <v>17000</v>
      </c>
      <c r="C10" s="14">
        <v>550</v>
      </c>
      <c r="D10" s="14">
        <v>840</v>
      </c>
      <c r="E10" s="14">
        <v>960</v>
      </c>
      <c r="F10" s="14">
        <v>1100</v>
      </c>
      <c r="G10" s="14">
        <v>340</v>
      </c>
      <c r="H10" s="14">
        <v>2500</v>
      </c>
      <c r="I10" s="14">
        <v>2400</v>
      </c>
      <c r="J10" s="13">
        <v>2500</v>
      </c>
      <c r="K10" s="14">
        <v>770</v>
      </c>
      <c r="L10" s="14">
        <v>680</v>
      </c>
      <c r="M10" s="14">
        <v>430</v>
      </c>
      <c r="N10" s="14">
        <v>1000</v>
      </c>
      <c r="O10" s="14">
        <v>400</v>
      </c>
    </row>
    <row r="11" spans="1:15" ht="15.75" thickBot="1">
      <c r="A11" s="13" t="s">
        <v>22</v>
      </c>
      <c r="B11" s="14">
        <v>28000</v>
      </c>
      <c r="C11" s="14">
        <v>1200</v>
      </c>
      <c r="D11" s="14">
        <v>1300</v>
      </c>
      <c r="E11" s="14">
        <v>6100</v>
      </c>
      <c r="F11" s="14">
        <v>2100</v>
      </c>
      <c r="G11" s="14">
        <v>720</v>
      </c>
      <c r="H11" s="14">
        <v>650</v>
      </c>
      <c r="I11" s="14">
        <v>820</v>
      </c>
      <c r="J11" s="14">
        <v>880</v>
      </c>
      <c r="K11" s="13">
        <v>6700</v>
      </c>
      <c r="L11" s="14">
        <v>6200</v>
      </c>
      <c r="M11" s="14">
        <v>1100</v>
      </c>
      <c r="N11" s="14">
        <v>590</v>
      </c>
      <c r="O11" s="14">
        <v>2800</v>
      </c>
    </row>
    <row r="12" spans="1:15" ht="15.75" thickBot="1">
      <c r="A12" s="13" t="s">
        <v>32</v>
      </c>
      <c r="B12" s="14">
        <v>27000</v>
      </c>
      <c r="C12" s="14">
        <v>460</v>
      </c>
      <c r="D12" s="14">
        <v>780</v>
      </c>
      <c r="E12" s="14">
        <v>1800</v>
      </c>
      <c r="F12" s="14">
        <v>5400</v>
      </c>
      <c r="G12" s="14">
        <v>3500</v>
      </c>
      <c r="H12" s="14">
        <v>530</v>
      </c>
      <c r="I12" s="14">
        <v>810</v>
      </c>
      <c r="J12" s="14">
        <v>680</v>
      </c>
      <c r="K12" s="14">
        <v>6100</v>
      </c>
      <c r="L12" s="13">
        <v>17000</v>
      </c>
      <c r="M12" s="14">
        <v>4700</v>
      </c>
      <c r="N12" s="14">
        <v>830</v>
      </c>
      <c r="O12" s="14">
        <v>1200</v>
      </c>
    </row>
    <row r="13" spans="1:15" ht="15.75" thickBot="1">
      <c r="A13" s="13" t="s">
        <v>24</v>
      </c>
      <c r="B13" s="14">
        <v>9500</v>
      </c>
      <c r="C13" s="14">
        <v>170</v>
      </c>
      <c r="D13" s="14">
        <v>320</v>
      </c>
      <c r="E13" s="14">
        <v>700</v>
      </c>
      <c r="F13" s="14">
        <v>1900</v>
      </c>
      <c r="G13" s="14">
        <v>980</v>
      </c>
      <c r="H13" s="14">
        <v>270</v>
      </c>
      <c r="I13" s="14">
        <v>360</v>
      </c>
      <c r="J13" s="14">
        <v>430</v>
      </c>
      <c r="K13" s="14">
        <v>1100</v>
      </c>
      <c r="L13" s="14">
        <v>4600</v>
      </c>
      <c r="M13" s="13">
        <v>1200</v>
      </c>
      <c r="N13" s="14">
        <v>740</v>
      </c>
      <c r="O13" s="14">
        <v>310</v>
      </c>
    </row>
    <row r="14" spans="1:15" ht="15.75" thickBot="1">
      <c r="A14" s="13" t="s">
        <v>25</v>
      </c>
      <c r="B14" s="14">
        <v>7800</v>
      </c>
      <c r="C14" s="14">
        <v>260</v>
      </c>
      <c r="D14" s="14">
        <v>450</v>
      </c>
      <c r="E14" s="14">
        <v>510</v>
      </c>
      <c r="F14" s="14">
        <v>850</v>
      </c>
      <c r="G14" s="14">
        <v>430</v>
      </c>
      <c r="H14" s="14">
        <v>1500</v>
      </c>
      <c r="I14" s="14">
        <v>1800</v>
      </c>
      <c r="J14" s="14">
        <v>1200</v>
      </c>
      <c r="K14" s="14">
        <v>540</v>
      </c>
      <c r="L14" s="14">
        <v>830</v>
      </c>
      <c r="M14" s="14">
        <v>720</v>
      </c>
      <c r="N14" s="13">
        <v>400</v>
      </c>
      <c r="O14" s="14">
        <v>230</v>
      </c>
    </row>
    <row r="15" spans="1:15" ht="15.75" thickBot="1">
      <c r="A15" s="13" t="s">
        <v>26</v>
      </c>
      <c r="B15" s="14">
        <v>8800</v>
      </c>
      <c r="C15" s="14">
        <v>820</v>
      </c>
      <c r="D15" s="14">
        <v>860</v>
      </c>
      <c r="E15" s="14">
        <v>6100</v>
      </c>
      <c r="F15" s="14">
        <v>750</v>
      </c>
      <c r="G15" s="14">
        <v>220</v>
      </c>
      <c r="H15" s="14">
        <v>270</v>
      </c>
      <c r="I15" s="14">
        <v>470</v>
      </c>
      <c r="J15" s="14">
        <v>430</v>
      </c>
      <c r="K15" s="14">
        <v>2800</v>
      </c>
      <c r="L15" s="14">
        <v>1100</v>
      </c>
      <c r="M15" s="14">
        <v>330</v>
      </c>
      <c r="N15" s="14">
        <v>250</v>
      </c>
      <c r="O15" s="13">
        <v>3000</v>
      </c>
    </row>
    <row r="17" spans="1:1">
      <c r="A17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6" zoomScaleNormal="100" workbookViewId="0">
      <selection activeCell="B24" sqref="B24"/>
    </sheetView>
  </sheetViews>
  <sheetFormatPr defaultColWidth="8.7109375" defaultRowHeight="15"/>
  <cols>
    <col min="1" max="1" width="70" customWidth="1"/>
  </cols>
  <sheetData>
    <row r="1" spans="1:1" ht="18">
      <c r="A1" s="11" t="s">
        <v>34</v>
      </c>
    </row>
    <row r="2" spans="1:1" ht="15.75">
      <c r="A2" s="12" t="s">
        <v>35</v>
      </c>
    </row>
    <row r="4" spans="1:1">
      <c r="A4" s="10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3" spans="1:1">
      <c r="A13" s="10" t="s">
        <v>43</v>
      </c>
    </row>
    <row r="14" spans="1:1">
      <c r="A14" t="s">
        <v>44</v>
      </c>
    </row>
    <row r="15" spans="1:1">
      <c r="A15" t="s">
        <v>45</v>
      </c>
    </row>
    <row r="16" spans="1:1">
      <c r="A16" t="s">
        <v>46</v>
      </c>
    </row>
    <row r="18" spans="1:2">
      <c r="A18" s="15" t="s">
        <v>47</v>
      </c>
    </row>
    <row r="19" spans="1:2">
      <c r="A19" s="19" t="s">
        <v>48</v>
      </c>
      <c r="B19" s="16" t="s">
        <v>49</v>
      </c>
    </row>
    <row r="20" spans="1:2">
      <c r="A20" s="20" t="s">
        <v>50</v>
      </c>
      <c r="B20" s="17">
        <v>172000</v>
      </c>
    </row>
    <row r="21" spans="1:2">
      <c r="A21" s="20" t="s">
        <v>51</v>
      </c>
      <c r="B21" s="17">
        <v>273000</v>
      </c>
    </row>
    <row r="22" spans="1:2">
      <c r="A22" s="20" t="s">
        <v>52</v>
      </c>
      <c r="B22" s="17">
        <v>162000</v>
      </c>
    </row>
    <row r="23" spans="1:2">
      <c r="A23" s="19" t="s">
        <v>53</v>
      </c>
      <c r="B23" s="18">
        <v>60700</v>
      </c>
    </row>
    <row r="25" spans="1:2">
      <c r="A25" t="s">
        <v>54</v>
      </c>
    </row>
    <row r="26" spans="1:2">
      <c r="A26" t="s">
        <v>55</v>
      </c>
    </row>
    <row r="27" spans="1:2">
      <c r="A27" t="s">
        <v>56</v>
      </c>
    </row>
    <row r="28" spans="1:2">
      <c r="A28" t="s">
        <v>57</v>
      </c>
    </row>
    <row r="30" spans="1:2">
      <c r="A30" t="s">
        <v>58</v>
      </c>
    </row>
    <row r="31" spans="1:2">
      <c r="A31" t="s">
        <v>59</v>
      </c>
    </row>
    <row r="32" spans="1:2">
      <c r="A32" t="s">
        <v>60</v>
      </c>
    </row>
    <row r="33" spans="1:1">
      <c r="A33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9" spans="1:1">
      <c r="A39" s="10" t="s">
        <v>65</v>
      </c>
    </row>
    <row r="40" spans="1:1">
      <c r="A40" t="s">
        <v>66</v>
      </c>
    </row>
    <row r="41" spans="1:1">
      <c r="A41" t="s">
        <v>67</v>
      </c>
    </row>
    <row r="43" spans="1:1">
      <c r="A43" s="10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83F0213A513648A64ED49830CD4437" ma:contentTypeVersion="7" ma:contentTypeDescription="Create a new document." ma:contentTypeScope="" ma:versionID="056c168f55d73975d50afa6401c0a593">
  <xsd:schema xmlns:xsd="http://www.w3.org/2001/XMLSchema" xmlns:xs="http://www.w3.org/2001/XMLSchema" xmlns:p="http://schemas.microsoft.com/office/2006/metadata/properties" xmlns:ns2="c709ed16-57bd-424e-8265-3ec83239f873" targetNamespace="http://schemas.microsoft.com/office/2006/metadata/properties" ma:root="true" ma:fieldsID="608c7b1da1a5e0839b504273afdca2fd" ns2:_="">
    <xsd:import namespace="c709ed16-57bd-424e-8265-3ec83239f8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9ed16-57bd-424e-8265-3ec83239f8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8E5616-648C-4B94-96DA-19F96A2582E2}"/>
</file>

<file path=customXml/itemProps2.xml><?xml version="1.0" encoding="utf-8"?>
<ds:datastoreItem xmlns:ds="http://schemas.openxmlformats.org/officeDocument/2006/customXml" ds:itemID="{DDF6BF8D-20B8-4458-B22D-7A9E88E5C2A1}"/>
</file>

<file path=customXml/itemProps3.xml><?xml version="1.0" encoding="utf-8"?>
<ds:datastoreItem xmlns:ds="http://schemas.openxmlformats.org/officeDocument/2006/customXml" ds:itemID="{3B97B38B-D4FB-4A39-8BAA-C97E2329B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2025-11-28T19:55:19Z</dcterms:created>
  <dcterms:modified xsi:type="dcterms:W3CDTF">2026-02-16T11:28:50Z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0x010100D983F0213A513648A64ED49830CD4437</vt:lpwstr>
  </property>
</Properties>
</file>